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19440" windowHeight="11520" tabRatio="600" firstSheet="0" activeTab="0" autoFilterDateGrouping="1"/>
  </bookViews>
  <sheets>
    <sheet name="供應商企業社會責任承諾書" sheetId="1" state="visible" r:id="rId1"/>
  </sheets>
  <externalReferences>
    <externalReference r:id="rId2"/>
  </externalReferences>
  <definedNames>
    <definedName name="OLE_LINK12" localSheetId="0">供應商企業社會責任承諾書!#REF!</definedName>
    <definedName name="OLE_LINK14" localSheetId="0">供應商企業社會責任承諾書!#REF!</definedName>
    <definedName name="OLE_LINK16" localSheetId="0">供應商企業社會責任承諾書!#REF!</definedName>
    <definedName name="鑑別權責部門">[1]INDEX!#REF!</definedName>
    <definedName name="_xlnm._FilterDatabase" localSheetId="0" hidden="1">'供應商企業社會責任承諾書'!$B$2:$M$15</definedName>
  </definedNames>
  <calcPr calcId="0" fullCalcOnLoad="1"/>
</workbook>
</file>

<file path=xl/sharedStrings.xml><?xml version="1.0" encoding="utf-8"?>
<sst xmlns="http://schemas.openxmlformats.org/spreadsheetml/2006/main" uniqueCount="112">
  <si>
    <t>類別</t>
  </si>
  <si>
    <t>條款編號</t>
  </si>
  <si>
    <t>中文條文內容</t>
  </si>
  <si>
    <t>鑑別權責部門</t>
  </si>
  <si>
    <t>目前現況/可能影響</t>
  </si>
  <si>
    <t>AI模型資料庫關鍵字</t>
  </si>
  <si>
    <t>AI模型資料庫題目</t>
  </si>
  <si>
    <t>正確權責單位</t>
  </si>
  <si>
    <t>正確權回覆內容</t>
  </si>
  <si>
    <t>❌ RAG 返回 0 個條文（未找到匹配）
原因：
1. 題目是承諾書泛用語言「承諾根據SA8000標準」
2. RAG 找不到與「SA8000」高度相關的知識庫內容（附件三沒有 SA8000 完整標準）
3. score_threshold=0.65 太高，過濾掉所有候選</t>
  </si>
  <si>
    <t>改善方法：
1. 【知識庫擴充】新增 SA8000 標準相關條文到附件三
2. 【降低閾值】將 score_threshold 從 0.65 降至 0.55-0.60
3. 【泛用題目處理】對於「承諾」類題目，應匹配到「管理制度總覽」或「政策聲明」類別
4. 【關鍵字擴展】「SA8000」→ 「社會責任」、「RBA」、「行為準則」</t>
  </si>
  <si>
    <t>意見回饋/更正內容</t>
  </si>
  <si>
    <t>更換權責部門</t>
  </si>
  <si>
    <t>Labor 勞工</t>
  </si>
  <si>
    <t>(6)承諾根據SA8000的標準保護並尊重員工的權利並遵守RBA的所有條款</t>
  </si>
  <si>
    <t>-</t>
  </si>
  <si>
    <t>✅ RAG 匹配成功，但信心度極低
實際處理過程（從 log）：
1. RAG 搜尋返回 top-3 條文：
   - [0] score=8.4%, 條文=「公司承諾」
   - [1] score=8.4%, 條文=「公部門保全人權風險」
   - [2] score=8.2%, 條文=「勞工政策和控制流程」
2. 聚合後選擇最高分：score=8.4%，行為準則=「公司承諾」
3. 信心判定：8.4% &lt; 55%（低信心閾值）→ 標記為紅色
❌ 問題：
- 正確答案未知（F 欄為「-」，表示測試題無法對應）
- RAG 分數極低 8.4%，表示知識庫缺乏 SA8000 相關內容
- 題目包含泛用語言「承諾根據標準」，難以精確匹配</t>
  </si>
  <si>
    <t>改善建議：
1. 【知識庫擴充】附件三新增 SA8000 標準對應條文，或建立「國際標準對應表」（SA8000 → RBA 對應關係）
2. 【泛用題目處理】對於「承諾」、「遵守」類題目：
   - 應優先匹配「管理制度」、「政策聲明」類別
   - 新增 SUBCONCEPT_RULES:承諾類 → 公司政策
3. 【分數校正】當多個候選分數相近時（如 8.4%, 8.4%, 8.2%），應改用「語義距離」而非純分數排序</t>
  </si>
  <si>
    <t>no</t>
  </si>
  <si>
    <t>(7)不得雇用童工或安排未成年工進行危險作業</t>
  </si>
  <si>
    <t>招募</t>
  </si>
  <si>
    <t>【未滿 18 歲】
(SAS100019)人員進用作業辦法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t>
  </si>
  <si>
    <t>青年勞工/童工</t>
  </si>
  <si>
    <t>未滿 18 歲的勞工（青年工人）不得從事可能危及其健康或安全的工作，包括夜班和加班。</t>
  </si>
  <si>
    <t>(SAS100019)人員進用作業辦法
4.8.2. 童工及青年勞工管理
4.8.2.1. 童工及青年勞工不可從事可能危害其健康或安全的工作，且依「妊娠與分娩後女性及未滿十八歲勞工禁止從事危險性或有害性工作認定標準」之童工及青年勞工相關規範建立未成年及母性危害告示分布圖。</t>
  </si>
  <si>
    <t>❌ RAG 匹配錯誤！高分數但匹配錯誤主題
實際處理過程（從 log）：
1. RAG 搜尋返回 top-3 條文：
   - [0] score=88.0%, 條文=「允許勞工遠離即將面臨的危險」
   - [1] score=82.0%, 條文=「允許勞工遠離危險」
   - [2] score=76.0%, 條文=「提供個人防護設備」
2. 聚合後選擇：score=88.0%，行為準則=「工傷和職業病/危險遠離」
3. 信心判定：88.0% ≥ 70% → 標記為綠色（高信心）
❌ 錯誤原因：
- 題目關鍵詞：「童工」、「未成年工」、「危險作業」
- RAG 抓住「危險作業」→ 錯誤匹配到「危險遠離」（職安類）
- 忽略了最核心的「童工」、「未成年」概念
- 正確答案應該是：F 欄「青年勞工/童工」
根本問題：
- SUBCONCEPT_RULES 缺少「童工/青年勞工」專屬規則
- 「危險」作為泛用詞，在多個主題出現，權重過高</t>
  </si>
  <si>
    <t>改善建議：
1. 【新增專屬規則】在 SUBCONCEPT_RULES 加入 child_labor 規則：
   ```python
   {
       "name": "child_labor",
       "triggers": ["童工", "青年勞工", "未成年", "child labor", "young worker", "18歲以下"],
       "must_have_any": ["童工", "青年", "未成年", "18歲", "young", "child"],
       "conflicts": ["工傷", "職業病", "危險遠離"],  # 排除與職安類混淆
       "boost_score": 50  # 命中時大幅提升分數
   }
   ```
2. 【關鍵詞權重調整】：
   - 「童工」、「未成年」→ 最高權重（×20）
   - 「危險」→ 降低權重（×3），因為在多個主題重複
3. 【Query 擴展】：「童工」→ 自動擴展為「青年勞工 OR 未成年工 OR 最低工作年齡」
4. 【排除機制】：當匹配到「童工」時，應排除「工傷」、「職業病」類別</t>
  </si>
  <si>
    <t>NA</t>
  </si>
  <si>
    <t>(8)不得苛求員工，不得要求員工繳交身份證、護照或其它政府發行之證件，不得要求員工繳納保證金或任何其它相當於保證金的財物作為雇用的前提條件</t>
  </si>
  <si>
    <t>【沒收】
(ENSH077)人權管理辦法 5.1.4公司不得以任何理由扣押員工身份證、押金及扣押薪資。</t>
  </si>
  <si>
    <t>工作許可證</t>
  </si>
  <si>
    <t>僱主、勞務代理和其附屬機構不得持有或以其他方式銷毀、隱藏或沒收身份或移民檔，例如政府頒發的身份證明、護照或工作許可證。儘管有上述規定，僱主只能在必要時持有相關檔以遵守當地法律。在這種情況下，任何時候都不應拒絕工人取回他們的文件。</t>
  </si>
  <si>
    <t>(ENSH077)人權管理辦法
5.1.4公司不得以任何理由扣押員工身份證、押金及扣押薪資。</t>
  </si>
  <si>
    <t>✅ RAG 匹配正確，但信心度極低
實際處理過程（從 log）：
1. RAG 搜尋返回 top-3 條文：
   - [0] score=9.1%, 條文=「僱主不得持有或銷毀身份或移民檔」
   - [1] score=9.1%, 條文=「僱主不得持有身份或移民檔」
   - [2] score=8.7%, 條文=「確保員工達最低工作年齡」
2. 聚合後選擇：score=9.1%，行為準則=「禁止強迫勞動」
3. 信心判定：9.1% &lt; 55% → 標記為紅色
✅ 匹配結果：
- RAG 返回的條文內容正確（與 G 欄「工作許可證」對應）
- 行為準則「禁止強迫勞動」 vs 正確答案 F 欄「工作許可證」（屬於禁止強迫勞動的子類別）
❌ 問題：分數異常低 9.1%
- 題目用詞：「繳交身份證、護照」
- 知識庫用詞：「持有、銷毀、隱藏移民檔」
- 語義相同但用詞差異大 → 向量相似度低</t>
  </si>
  <si>
    <t>改善建議：
1. 【同義詞庫擴充】建立證件類同義詞：
   ```python
   synonyms = {
       "身份證": ["身份證明", "ID", "identity card", "政府頒發證明"],
       "護照": ["移民檔", "passport", "工作許可證"],
       "繳交": ["持有", "扣押", "銷毀", "隱藏", "沒收", "保管"],
       "保證金": ["押金", "財物", "deposit"]
   }
   ```
2. 【Query 重寫】在 RAG 搜尋前：
   - 「繳交身份證護照」→ 重寫為「持有 OR 扣押身份證明 OR 移民檔 OR 工作許可證」
3. 【Embedding 模型升級】：
   - 目前模型可能對「繳交」vs「持有」語義距離判斷不準
   - 建議使用中文優化的 embedding 模型（如 multilingual-e5-large-instruct）
4. 【降低閾值】：score_threshold 從 0.65 降至 0.55，讓 9.1% 的候選不會被過濾</t>
  </si>
  <si>
    <t>(9)保證正常工作時間及加班應符合所有適用的法律法規</t>
  </si>
  <si>
    <t>【教育合作夥伴】
(SAS100019)人員進用作業辦法 4.8.3. 實習生管理</t>
  </si>
  <si>
    <t>加班時間</t>
  </si>
  <si>
    <t>支付給勞工的薪酬應符合所有適用的工資法，包括與最低工資、加班時間和法定福利相關的法律。</t>
  </si>
  <si>
    <t>薪酬</t>
  </si>
  <si>
    <t>規範於(ENSH077)人權管理辦法5.3 : 工時和薪資。</t>
  </si>
  <si>
    <t>✅ RAG 匹配正確，但信心度低
實際處理過程（從 log）：
1. RAG 搜尋返回 top-3 條文：
   - [0] score=12.0%, 條文=「支付給勞工的薪酬應符合工資法」
   - [1] score=11.8%, 條文=「薪酬應符合工資法」
   - [2] score=11.7%, 條文=「薪酬應符合工資法」
2. 聚合後選擇：score=12.0%，行為準則=「工資與福利」
3. 信心判定：12.0% &lt; 55% → 標記為紅色
❌ 問題：匹配到「工資與福利」但題目問的是「工作時間」
- 題目關鍵詞：「工作時間」、「加班」、「法律法規」
- RAG 返回的條文：「薪酬」、「最低工資」、「加班時間」
- 雖然都提到「加班」，但主題不同（時間 vs 薪資）
根本問題：
- 題目過於泛用「保證...符合法律」，缺少具體描述
- 知識庫中「加班時間」條文同時涉及「工時」和「薪資」</t>
  </si>
  <si>
    <t>改善建議：
1. 【主題分類明確化】區分「工時管理」和「工資福利」：
   - 新增 SUBCONCEPT_RULES: working_hours 規則
   ```python
   {
       "name": "working_hours",
       "triggers": ["工作時間", "加班", "每週工時", "休息時間", "working hours"],
       "must_have_any": ["工時", "時間", "hours", "休息"],
       "avoid_keywords": ["薪酬", "工資", "福利", "compensation"],  # 排除薪資類
       "boost_score": 30
   }
   ```
2. 【知識庫結構化】附件三應明確區分：
   - 「工時」→ 工時管理類別
   - 「加班費」→ 工資福利類別
3. 【Query 擴展】「工作時間」→ 「每週工時 OR 加班時數 OR 工作時長限制」
4. 【分數校正】當 RAG 返回多個相近分數（12.0%, 11.8%, 11.7%）時，應檢查是否為重複內容</t>
  </si>
  <si>
    <t>(10)承諾薪酬政策與應適用的法律相符並不低於法定最低薪酬標準</t>
  </si>
  <si>
    <t>最低工資</t>
  </si>
  <si>
    <t>✅ RAG 匹配正確，但信心度極低
實際處理過程（從 log）：
1. RAG 搜尋返回 top-3 條文：
   - [0] score=8.8%, 條文=「支付給勞工的薪酬應符合工資法」
   - [1] score=8.8%, 條文=「薪酬應符合工資法」
   - [2] score=8.5%, 條文=「薪酬應符合工資法」
2. 聚合後選擇：score=8.8%，行為準則=「工資與福利」
3. 信心判定：8.8% &lt; 55% → 標記為紅色
✅ 匹配結果：正確
- 題目：「薪酬政策與法律相符、不低於最低薪酬標準」
- 匹配到：「工資與福利」（F 欄未標註，但從 log 看匹配正確）
❌ 問題：分數異常低 8.8%
- 題目用詞：「薪酬政策」、「最低薪酬標準」
- 知識庫用詞：「支付薪酬」、「最低工資」
- 語義高度相關但分數極低</t>
  </si>
  <si>
    <t>改善建議：
1. 【薪酬類同義詞】建立：
   ```python
   synonyms = {
       "薪酬": ["工資", "薪資", "報酬", "compensation", "wage", "salary"],
       "最低薪酬標準": ["最低工資", "法定薪資", "minimum wage"],
       "薪酬政策": ["工資法", "薪資制度", "compensation policy"]
   }
   ```
2. 【Query 重寫】：
   - 「薪酬政策與法律相符」→ 重寫為「工資應符合法律 AND 最低工資標準」
3. 【檢查 Embedding 模型】：
   - 「薪酬」vs「工資」應該是高度相似（&gt;90%），實際只有 8.8%
   - 可能 embedding 模型對中文繁體支持不佳
   - 建議測試不同 embedding 模型（如 multilingual-e5-large）
4. 【承諾類題目處理】：類似題目 3，「承諾」類語言應降低語義匹配難度</t>
  </si>
  <si>
    <t>(11)賦予員工聚會結社的自由及提供員工與主管溝通的途徑</t>
  </si>
  <si>
    <t>行政</t>
  </si>
  <si>
    <t>【無障礙設施】
員工可至電子簽核系統填寫[FORM.155] 車證申請單申請博愛車證。</t>
  </si>
  <si>
    <t>結社自由</t>
  </si>
  <si>
    <t>結社自由
符合當地法規下，應尊重所有工人組織和參加自己選擇的工會/工人代表組織、參與集體談判和合法集會的權利，並尊重工人不參加此類活動的權利。</t>
  </si>
  <si>
    <t>員關</t>
  </si>
  <si>
    <t>1.訂有(ENSH077)人權管理辦法保障同仁自由結社之權益。
2.定期辦理勞資會議</t>
  </si>
  <si>
    <t>✅ RAG 匹配正確，但信心度極低
實際處理過程（從 log）：
1. RAG 搜尋返回 top-3 條文：
   - [0] score=8.3%, 條文=「提供員工無障礙設施申請管道」
   - [1] score=8.1%, 條文=「結社自由 符合當地法規下應尊重工人組織和參加工會」
   - [2] score=7.7%, 條文=「確保員工依法享有結社自由」
2. 聚合後選擇：score=8.1%（選擇第二個，因為第一個不相關），行為準則=「自由結社」
3. 信心判定：8.1% &lt; 55% → 標記為紅色
✅ 匹配結果：正確
- 題目：「聚會結社的自由」、「員工與主管溝通」
- 匹配到：「自由結社」（與 F 欄「自由結社」完全一致）
❌ 問題：分數異常低 8.1%
- 題目用詞：「聚會結社」、「溝通途徑」
- 知識庫用詞：「組織和參加工會」、「集體談判」
- 語義相同但用詞差異導致低分</t>
  </si>
  <si>
    <t>改善建議：
1. 【結社自由同義詞】建立：
   ```python
   synonyms = {
       "聚會結社": ["組織工會", "參加工會", "工人組織", "freedom of association"],
       "結社自由": ["自由結社", "集體談判權", "組織權利"],
       "溝通途徑": ["工人代表", "員工代表", "申訴管道"]
   }
   ```
2. 【關鍵詞權重】：
   - 「結社」、「工會」→ 唯一性高，應給予最高權重（×15）
3. 【排除噪音】：
   - log 顯示 top-1 是「無障礙設施申請管道」（8.3%），完全不相關
   - 應在 Rerank 階段加入「主題相關性檢查」，排除無關候選
4. 【Embedding 問題】：
   - 「聚會結社」vs「組織工會」相似度應 &gt;80%，實際只有 8.1%
   - 強烈建議更換 embedding 模型</t>
  </si>
  <si>
    <t>(12)不得在招募和雇用措施上進行種族、膚色、年齡、性別、性取向、民族、殘疾、懷孕、宗教、黨派、工會會員、婚姻等狀況歧視</t>
  </si>
  <si>
    <t>【母語】
(SAS100060)外籍直接員工管理辦法 4.2.1.9. 國內外仲介 針對外籍直接員工聘僱合約進行說明並給予審閱期， 公司應確保聘僱之外籍直接員工，在離開輸出國之前收到、理解以其母語編寫的聘僱合約，如員工有任何問題均可於過程中進行溝通與協調。</t>
  </si>
  <si>
    <t>歧視</t>
  </si>
  <si>
    <t>公司不得在招聘和就業作為（如工資、升遷、獎勵和培訓機會）中基於種族、膚色、年齡、性別、性取向、性別認同或表達、民族或國籍、殘疾、懷孕、宗教、政治派別、工會成員身份、受保護的退伍軍人身份、受保護的遺傳資訊或婚姻狀況進行歧視或騷擾。並應將支持這些要求的紀律政策和程式明確定義並傳達給勞工。</t>
  </si>
  <si>
    <t>訂有(ENSH077)人權管理辦法定期辦理相關訓練課程讓同仁了解相關政策。</t>
  </si>
  <si>
    <t>✅ RAG 匹配完全正確，高信心
實際處理過程（從 log）：
1. RAG 搜尋返回 top-3 條文：
   - [0] score=97.7%, 條文=「公司不得在招聘和就業作為中基於種族、膚色、年齡...進行歧視」
   - [1] score=97.6%, 條文=「公司不得在招聘中基於種族...歧視」
   - [2] score=97.6%, 條文=「公司不得在招聘中歧視」
2. 聚合後選擇：score=97.5%，行為準則=「不歧視/不騷擾/人道待遇」
3. 信心判定：97.5% ≥ 70% → 標記為綠色（高信心）
✅ 完美匹配：
- 題目與知識庫幾乎一字不差
- 分數 97.5% 接近完美
- 正確匹配到 F 欄「不歧視/不騷擾」
🎯 成功案例：這是唯一分數 &gt;90% 且匹配正確的題目</t>
  </si>
  <si>
    <t>✅ 此題無需改善，作為標準範例
成功原因分析：
1. 題目與知識庫用詞高度一致
2. 列舉式關鍵詞（種族、膚色、年齡、性別...）提供大量匹配點
3. 「歧視」為明確且唯一性高的概念
建議：
- 將此題作為「理想匹配範例」
- 其他主題應參考此題的知識庫描述方式：
  * 使用完整列舉（種族、膚色、年齡...）
  * 避免泛用語言（如「遵守標準」）
  * 提供具體行為描述（「不得在招聘中...」）</t>
  </si>
  <si>
    <t>Health &amp; Safety 健康與安全</t>
  </si>
  <si>
    <t>(3)為員工提供健康、安全的工作環境，並在危險工作區及有害物質、危險商品上設置醒目標識</t>
  </si>
  <si>
    <t>健康管理課</t>
  </si>
  <si>
    <t>【母性需求】
本公司配合職業安全衛生法第三十條、三十一條，事業單位對女性勞工母性健康保護事項宜妥為規劃及採取必要之安全衛生措施，以確保妊娠、分娩、哺乳等女性勞工之身心健康，以達到母性健康保護之目的並訂有(SVS080037)女性勞工母性健康保護管理作業標準： 依據女性勞工健康保護通報，進行母性健康危害風險評估及管理追蹤；填寫風險評估報告書及關懷問卷，安排駐廠醫師諮詢，進行分級管理及建檔追蹤</t>
  </si>
  <si>
    <t>工作場所顯眼處張貼健康與安全資料</t>
  </si>
  <si>
    <t>公司是否於工作場所顯眼處張貼健康與安全相關資料?</t>
  </si>
  <si>
    <t>職安</t>
  </si>
  <si>
    <t>訂有(SVS080003)危害通識計劃作業標準</t>
  </si>
  <si>
    <t>⚠️ RAG 匹配錯誤但高信心（類似題目 4）
實際處理過程（從 log）：
1. RAG 搜尋返回 top-3 條文：
   - [0] score=88.0%, 條文=「允許勞工遠離即將面臨的危險」
   - [1] score=82.0%, 條文=「允許勞工遠離危險」
   - [2] score=76.0%, 條文=「提供個人防護設備」
2. 聚合後選擇：score=88.0%，行為準則=「工傷和職業病/危險遠離」
3. 信心判定：88.0% ≥ 70% → 標記為綠色（高信心）
✅ 此題實際上可能是正確的（需要確認 F 欄）：
- 題目：「提供健康安全工作環境」、「危險工作區設置標識」
- 匹配到：「工傷和職業病」（職安類別）
- 條文內容涉及「危險區域」、「防護設備」，與題目相關
⚠️ 與題目 4 混淆：
- 題目 4（童工危險作業）和題目 10（危險工作區標識）都匹配到同一條文
- 說明「危險」作為泛用詞，容易造成誤匹配</t>
  </si>
  <si>
    <t>改善建議：
1. 【區分「危險」的不同語境】：
   - 「童工+危險作業」→ 應匹配「青年勞工保護」
   - 「危險工作區+標識」→ 應匹配「職業安全標識」或「危險區域管理」
   - 新增上下文判斷邏輯
2. 【細化職安類別】：
   - 「工傷和職業病」太廣泛，應拆分為：
     * 危險區域標識
     * 個人防護設備
     * 職業病預防
     * 工傷處理
3. 【防止誤匹配】：
   - 當「童工」和「危險」同時出現 → 優先匹配「青年勞工」
   - 當「標識」和「危險」同時出現 → 優先匹配「安全標識」
4. 【知識庫結構化】：F 欄應明確標註正確答案，便於驗證</t>
  </si>
  <si>
    <t>(4)定期評估健康、環境安全風險並制訂控制潛在或預期風險的相關措施</t>
  </si>
  <si>
    <t>【法律遵循】
訂有PVS080016 法規鑑定管理程序定期進行法規鑑別； 定期鑑定環境、安全、衛生、消防、輻射相關法規及當地主管機關要求對公司運作之相關規定，用以鑑別出法規要求對公司之衝擊，避免公司因法規之新增、修訂，未能及時因應而違法。</t>
  </si>
  <si>
    <t>風險識別</t>
  </si>
  <si>
    <t>應鑑別及評估工人健康和安全的潛在危害風險（包含化學、電氣和其他能源來源、火災、車輛和墜落等），並採取適當的控制層級來降低風險。</t>
  </si>
  <si>
    <t>公司訂有(PVS080021)重大危害辨識與風險評估管理程序
為能主動掌握製程與廠務系統、設備及所有作業潛在危害風險，特訂定本辦法，以風險評估技術分析製程偏離、元件失效、人為失誤等影響因素並進而採取預防與控制手段，以降低危害發生機率及後果嚴重性。</t>
  </si>
  <si>
    <t>❌ RAG 匹配錯誤！應匹配「風險識別」，實際匹配到「持續改進」
實際處理過程（從 log）：
1. RAG 搜尋返回 top-3 條文：
   - [0] score=10.1%, 條文=「持續改善目標 制定績效目標與計畫定期評估」
   - [1] score=9.7%, 條文=「健康與安全自我評估流程以定期評估」
   - [2] score=9.7%, 條文=「健康與安全管理績效考核和持續改進流程」
2. 聚合後選擇：score=9.7%（選擇第二、三個的聚合），行為準則=「健康安全績效考核和持續改進」
3. 信心判定：9.7% &lt; 55% → 標記為紅色
❌ 錯誤原因：
- 題目核心概念：「定期評估風險」、「制訂控制措施」→ 這是「風險識別」和「風險評估」
- RAG 匹配到：「定期評估績效」、「持續改進」→ 這是管理流程，不是風險評估
- 被「定期評估」這個泛用詞誤導
根本問題：
- 「定期評估」可能出現在多個主題（風險評估、績效考核、自我評估）
- RAG 抓住「定期評估」但忽略了「風險」這個核心概念</t>
  </si>
  <si>
    <t>改善建議：
1. 【新增風險管理規則】：
   ```python
   {
       "name": "risk_assessment",
       "triggers": ["風險評估", "風險識別", "風險控制", "潛在風險", "risk assessment"],
       "must_have_any": ["風險", "危害識別", "hazard", "risk"],
       "avoid_keywords": ["績效", "持續改進", "目標"],  # 排除管理類
       "boost_score": 40
   }
   ```
2. 【核心概念優先】：
   - 「風險」比「定期評估」更重要
   - Rerank 時應檢查核心概念是否匹配
3. 【知識庫對齊】：
   - 正確答案（F 欄）應該是「風險識別」
   - 附件三應明確區分「風險評估」和「績效評估」
4. 【Query 擴展】：
   - 「評估風險」→ 「風險識別 OR 危害評估 OR 安全風險分析」
   - 不要只擴展「評估」，要擴展「風險評估」整體</t>
  </si>
  <si>
    <t>Environment 環境</t>
  </si>
  <si>
    <t>(2)向買方提交ISO14001證書或明確的環境治理方案</t>
  </si>
  <si>
    <t>環發一部</t>
  </si>
  <si>
    <t>【環境管理系統 ISO 14001】
公司訂有(MVM010001)環安衛管理手冊(MVM010001) ESH management manual並取得ISO 14001 證書 DBO:ISO 14001：2015證書到期日:2026/3/29 ABO:ISO 14001：2015證書到期日:2028/9/27</t>
  </si>
  <si>
    <t>環境管理系統
ISO 14001</t>
  </si>
  <si>
    <t>公司是否通過ISO 14001 或環境相關管理系統，且證書於有效期限內? 若是，請提供認證系統及證書檔案; 若否，請提供取得第三方認證時程或不執行原因 ※若證書三個月內到期，請提出續證規劃日期；若三個月內未到期，則回覆NA</t>
  </si>
  <si>
    <t xml:space="preserve">公司訂有(MVM010001)環安衛管理手冊(MVM010001) ESH management manual並取得ISO 14001 證書
DBO:ISO 14001：2015證書到期日:2026/3/29 
ABO:ISO 14001：2015證書到期日:2028/9/27 </t>
  </si>
  <si>
    <t>✅ RAG 匹配完全正確，高信心
實際處理過程（從 log）：
1. RAG 搜尋返回 top-3 條文：
   - [0] score=97.2%, 條文=「貴公司是否已建立環境管理系統？是否獲得ISO 14001等外部認證？」
   - [1] score=9.3%, 條文=「是否取得ISO 45001等認證」
   - [2] score=9.2%, 條文=「是否通過ISO 14001或環境相關管理系統」
2. 聚合後選擇：score=97.2%，行為準則=「環境控制流程」
3. 信心判定：97.2% ≥ 70% → 標記為綠色（高信心）
✅ 完美匹配：
- 題目：「ISO14001證書」、「環境治理方案」
- 匹配到：「環境管理系統」、「ISO 14001認證」
- 分數 97.2%，幾乎完美
🎯 成功案例：第二個高分且匹配正確的題目</t>
  </si>
  <si>
    <t>✅ 此題無需改善，作為標準範例
成功原因分析：
1. 「ISO 14001」是明確的標準代號，唯一性高
2. 題目與知識庫都使用專業術語（環境管理系統）
3. 沒有歧義或泛用語言
建議：
- 將此題作為「專業術語匹配範例」
- 其他主題應參考此題的描述方式：
  * 使用明確的標準代號（ISO xxx）
  * 使用專業術語而非泛用語言
  * 避免「承諾」、「遵守」等模糊詞彙</t>
  </si>
  <si>
    <t>Ethics 道德</t>
  </si>
  <si>
    <t>(1)在商業活動中遵守所有適用的法令與商業道德，不得參與不正當競爭</t>
  </si>
  <si>
    <t>資訊</t>
  </si>
  <si>
    <t>【隱私權】
有訂定集團誠信與道德行為管理辦法以及制定下列程序、規範文件遵守隱私與資訊安全合規： (ENPT026)存取控制管理作業流程及程序 (ENPT050)資訊資產管理作業流程及程序 (ENPT051)人力資源安全管理作業流程及程序 (ENPT053)遵循性管理作業流程及程序 (ENST093)資訊安全規範 (ENFT060)委外人員保密切結書 蒐集個人資料告知事項暨個人資料提供同意書 控制措施： 1.資料夾設有權限卡控 2.公司設備禁止使用USB存取裝置 3.郵件傳遞設有資料外洩防護(Data Loss Prevention)機制，防止敏感資料在未經授權的情況下外洩 4.遵循法務智權單位規範之個人資料保護管理辦法 -蒐集個資前告知當事人個資行使之權利及方式。</t>
  </si>
  <si>
    <t>不當利益</t>
  </si>
  <si>
    <t>不當利益
禁止承諾、提供、授權、給予有價物或接受賄賂或其他不當利益的手段。無論直接或透過第三方、協力廠商，均不得以此獲取業務或維持商業利益、導引生意或取得不當利益。應設有監控、紀錄及執行程序，以確保反貪腐法規遵循。</t>
  </si>
  <si>
    <t>法務</t>
  </si>
  <si>
    <t>制訂(SHS120009)反貪腐遵循辦法
富采集團誠信與道德行為管理辦法(ENSH056)以資遵循
公司有頒布集團誠信與道德行為管理辦法，涵蓋管理面向包含利益迴避、餽贈和服務招待、禁止行賄及收賄、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t>
  </si>
  <si>
    <t>✅ RAG 匹配正確，但信心度極低
實際處理過程（從 log）：
1. RAG 搜尋返回 top-3 條文：
   - [0] score=9.0%, 條文=「公平競爭、廣告與商業 必須維持公平競爭標準」
   - [1] score=9.0%, 條文=「公平競爭、廣告與商業」
   - [2] score=8.9%, 條文=「公平競爭、廣告與商業」
2. 聚合後選擇：score=9.0%，行為準則=「公平交易/公平競爭廣告和競爭」
3. 信心判定：9.0% &lt; 55% → 標記為紅色
✅ 匹配結果：可能正確（F 欄未標註）
- 題目：「遵守法令與商業道德」、「不參與不正當競爭」
- 匹配到：「公平競爭、廣告與商業」
❌ 問題：分數異常低 9.0%
- 題目用詞：「商業道德」、「不正當競爭」
- 知識庫用詞：「公平競爭標準」、「行銷與商業標準」
- 語義高度相關但分數極低</t>
  </si>
  <si>
    <t>改善建議：
1. 【商業道德同義詞】：
   ```python
   synonyms = {
       "商業道德": ["公平競爭", "商業標準", "business ethics"],
       "不正當競爭": ["不道德方式", "攻擊性競爭", "unfair competition"],
       "商業活動": ["商業行為", "行銷", "廣告"]
   }
   ```
2. 【泛用題目處理】：
   - 「遵守所有適用的法令」過於泛用
   - 應提取核心概念：「商業活動」+「不正當競爭」→ 「公平競爭」
3. 【Query 重寫】：
   - 「遵守法令與商業道德不得不正當競爭」→ 「公平競爭標準 AND 商業行為規範」
4. 【檢查 Embedding】：
   - 「商業道德」vs「公平競爭」語義距離應很近
   - 9.0% 分數表示 embedding 模型理解不足</t>
  </si>
  <si>
    <t>Management System 管理系統</t>
  </si>
  <si>
    <t>(13)不參與非法競爭和腐敗活動，並遵守智慧財產權法律</t>
  </si>
  <si>
    <t>未匹配</t>
  </si>
  <si>
    <t>請人工填寫</t>
  </si>
  <si>
    <t>反貪腐
智慧財產權</t>
  </si>
  <si>
    <t xml:space="preserve">不當利益
禁止承諾、提供、授權、給予有價物或接受賄賂或其他不當利益的手段。無論直接或透過第三方、協力廠商，均不得以此獲取業務或維持商業利益、導引生意或取得不當利益。應設有監控、紀錄及執行程序，以確保反貪腐法規遵循。
智慧財產權
應尊重智慧財產權，技術與專業知識轉移須保護智慧財產權，並妥善保護客戶與供應商資訊
</t>
  </si>
  <si>
    <t xml:space="preserve">法務
智權
</t>
  </si>
  <si>
    <t>1.制訂(SHS120009)反貪腐遵循辦法
富采集團誠信與道德行為管理辦法(ENSH056)以資遵循
公司有頒布集團誠信與道德行為管理辦法，涵蓋管理面向包含利益迴避、餽贈和服務招待、禁止行賄及收賄、 防範非法政治獻金、智慧財產權、營業秘密、資訊安全保護、遵循公平交易法與競爭法、遵循誠信經營之商業活動、遵循個人資料隱私保護等；並建立各相關管理程序以俾員工指引及有效防範不法行為2. 公司訂有(SA-23-07001)專利管理辦法：確保本公司專利申請案具優良品質，以有效增加本公司之無形資產及持續提升本公司之競爭力
3. 公司訂有(SA-23-07004)營業秘密保護辦法：保障公司之營業秘密及公司持有第三人之機密資料的安全，暨確保同仁工作成果、維持公司競爭力及避免公司重要資訊外洩</t>
  </si>
  <si>
    <t>✅ RAG 匹配正確，但信心度極低
實際處理過程（從 log）：
1. RAG 搜尋返回 top-3 條文：
   - [0] score=9.6%, 條文=「智慧財產權 應尊重智慧財產權」
   - [1] score=9.5%, 條文=「應尊重智慧財產權」
   - [2] score=9.4%, 條文=「智慧財產權 技術與專業知識轉移須保護智慧財產權」
2. 聚合後選擇：score=9.6%，行為準則=「智慧財產」
3. 信心判定：9.6% &lt; 55% → 標記為紅色
⚠️ 匹配結果：部分正確
- 題目包含兩個概念：
  1. 「不參與非法競爭和腐敗活動」→ 應匹配「誠信經營」或「反腐敗」
  2. 「遵守智慧財產權法律」→ 正確匹配到「智慧財產」
- RAG 只抓住第二個概念，忽略了第一個
❌ 問題：
- 題目是複合概念（反腐敗 + 智慧財產權）
- 當前系統只能返回單一匹配
- 分數 9.6% 極低</t>
  </si>
  <si>
    <t>改善建議：
1. 【複合題目拆分】：
   - 檢測題目是否包含多個獨立概念（用「和」、「並」、「及」連接）
   - 拆分為：
     * 子題目 1：「不參與非法競爭和腐敗活動」
     * 子題目 2：「遵守智慧財產權法律」
   - 分別匹配後合併結果
2. 【多標籤支持】：
   - 允許一個題目匹配多個行為準則
   - 返回：["誠信經營", "智慧財產"]
3. 【新增反腐敗規則】：
   ```python
   {
       "name": "anti_corruption",
       "triggers": ["腐敗", "賄賂", "非法競爭", "corruption", "bribery"],
       "must_have_any": ["腐敗", "賄賂", "不正當利益"],
       "boost_score": 40
   }
   ```
4. 【Query 擴展】：
   - 「非法競爭和腐敗」→ 「反腐敗 OR 反賄賂 OR 誠信經營」</t>
  </si>
  <si>
    <t>乙方完全知悉並充分理解RBA的內容及所有條款規定，並同意接受甲方定期及不定期的稽核</t>
  </si>
  <si>
    <t>✅ RAG 匹配可能正確，但信心度極低
實際處理過程（從 log）：
1. RAG 搜尋返回 top-3 條文：
   - [0] score=7.1%, 條文=「供應商確認已收到、閱讀、理解並同意遵守本文件中所列之要求」
   - [1] score=7.0%, 條文=「稽核與評估 定期自我評估檢查是否符合法規」
   - [2] score=6.8%, 條文=「公司承諾 高階主管背書」
2. 聚合後選擇：score=7.1%，行為準則=「客戶要求」
3. 信心判定：7.1% &lt; 55% → 標記為紅色
✅ 匹配結果：可能正確（F 欄未標註）
- 題目：「知悉並理解RBA內容」、「同意接受稽核」
- 匹配到：「客戶要求」（供應商確認遵守要求）
❌ 問題：
- 分數 7.1% 是所有題目中最低的
- 題目包含「稽核」概念，但 top-1 條文沒有明確提到
- 題目語言是合約式語言（乙方、甲方），知識庫用詞不同</t>
  </si>
  <si>
    <t>改善建議：
1. 【合約語言處理】：
   - 將「乙方/甲方」轉換為「供應商/客戶」
   - 將「知悉並理解」轉換為「確認遵守」
   - 前處理階段進行語言標準化
2. 【稽核類同義詞】：
   ```python
   synonyms = {
       "稽核": ["審核", "評估", "檢查", "audit", "assessment"],
       "定期稽核": ["定期評估", "持續監督"],
       "知悉並理解": ["確認", "同意遵守", "acknowledge"]
   }
   ```
3. 【RBA 相關處理】：
   - 「理解RBA內容」→ 應匹配「管理承諾」或「供應商承諾」
   - 新增「供應商承諾」子類別
4. 【分數異常檢查】：
   - 7.1% 極低，可能 embedding 模型對合約式語言理解不佳
   - 建議使用法律/合約領域的 embedding 模型</t>
  </si>
</sst>
</file>

<file path=xl/styles.xml><?xml version="1.0" encoding="utf-8"?>
<styleSheet xmlns="http://schemas.openxmlformats.org/spreadsheetml/2006/main">
  <numFmts count="1">
    <numFmt numFmtId="164" formatCode="[$-404]e/m/d;@"/>
  </numFmts>
  <fonts count="11">
    <font>
      <name val="新細明體"/>
      <charset val="136"/>
      <family val="2"/>
      <color theme="1"/>
      <sz val="12"/>
      <scheme val="minor"/>
    </font>
    <font>
      <name val="新細明體"/>
      <charset val="136"/>
      <family val="2"/>
      <sz val="9"/>
      <scheme val="minor"/>
    </font>
    <font>
      <name val="Calibri"/>
      <family val="2"/>
      <color theme="1"/>
      <sz val="12"/>
    </font>
    <font>
      <name val="微軟正黑體"/>
      <charset val="136"/>
      <family val="2"/>
      <sz val="12"/>
    </font>
    <font>
      <name val="Calibri"/>
      <family val="2"/>
      <sz val="12"/>
    </font>
    <font>
      <name val="微軟正黑體"/>
      <charset val="136"/>
      <family val="2"/>
      <sz val="20"/>
    </font>
    <font>
      <name val="Calibri"/>
      <charset val="136"/>
      <family val="2"/>
      <sz val="12"/>
    </font>
    <font>
      <name val="Microsoft JhengHei"/>
      <family val="2"/>
      <sz val="12"/>
    </font>
    <font>
      <name val="Microsoft JhengHei"/>
      <charset val="136"/>
      <family val="2"/>
      <sz val="12"/>
    </font>
    <font>
      <name val="新細明體"/>
      <charset val="136"/>
      <family val="1"/>
      <sz val="12"/>
    </font>
    <font>
      <name val="Calibri"/>
      <family val="2"/>
      <sz val="11"/>
    </font>
  </fonts>
  <fills count="12">
    <fill>
      <patternFill/>
    </fill>
    <fill>
      <patternFill patternType="gray125"/>
    </fill>
    <fill>
      <patternFill patternType="solid">
        <fgColor theme="0" tint="-0.1499984740745262"/>
        <bgColor indexed="64"/>
      </patternFill>
    </fill>
    <fill>
      <patternFill patternType="solid">
        <fgColor theme="5" tint="0.7999816888943144"/>
        <bgColor indexed="64"/>
      </patternFill>
    </fill>
    <fill>
      <patternFill patternType="solid">
        <fgColor theme="0"/>
        <bgColor indexed="64"/>
      </patternFill>
    </fill>
    <fill>
      <patternFill patternType="solid">
        <fgColor rgb="FFFF0000"/>
        <bgColor rgb="FFFF0000"/>
      </patternFill>
    </fill>
    <fill>
      <patternFill patternType="solid">
        <fgColor rgb="FFC6EFCE"/>
        <bgColor rgb="FFC6EFCE"/>
      </patternFill>
    </fill>
    <fill>
      <patternFill patternType="solid">
        <fgColor theme="9" tint="0.7999816888943144"/>
        <bgColor rgb="FFFF0000"/>
      </patternFill>
    </fill>
    <fill>
      <patternFill patternType="solid">
        <fgColor theme="9" tint="0.7999816888943144"/>
        <bgColor rgb="FFC6EFCE"/>
      </patternFill>
    </fill>
    <fill>
      <patternFill patternType="solid">
        <fgColor theme="9" tint="0.7999816888943144"/>
        <bgColor indexed="64"/>
      </patternFill>
    </fill>
    <fill>
      <patternFill patternType="solid">
        <fgColor rgb="00C6EFCE"/>
        <bgColor rgb="00C6EFCE"/>
      </patternFill>
    </fill>
    <fill>
      <patternFill patternType="solid">
        <fgColor rgb="00FF0000"/>
        <bgColor rgb="00FF0000"/>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applyAlignment="1">
      <alignment vertical="center"/>
    </xf>
    <xf numFmtId="0" fontId="9" fillId="0" borderId="0" applyAlignment="1">
      <alignment vertical="center"/>
    </xf>
  </cellStyleXfs>
  <cellXfs count="47">
    <xf numFmtId="0" fontId="0" fillId="0" borderId="0" applyAlignment="1" pivotButton="0" quotePrefix="0" xfId="0">
      <alignment vertical="center"/>
    </xf>
    <xf numFmtId="0" fontId="2" fillId="0" borderId="0" applyAlignment="1" pivotButton="0" quotePrefix="0" xfId="0">
      <alignment vertical="center"/>
    </xf>
    <xf numFmtId="0" fontId="4" fillId="2" borderId="1" applyAlignment="1" pivotButton="0" quotePrefix="0" xfId="0">
      <alignment horizontal="center" vertical="center"/>
    </xf>
    <xf numFmtId="0" fontId="8" fillId="2" borderId="1" applyAlignment="1" pivotButton="0" quotePrefix="0" xfId="0">
      <alignment horizontal="center" vertical="center"/>
    </xf>
    <xf numFmtId="0" fontId="6" fillId="2" borderId="1" applyAlignment="1" pivotButton="0" quotePrefix="0" xfId="0">
      <alignment horizontal="center" vertical="center"/>
    </xf>
    <xf numFmtId="49" fontId="3" fillId="2" borderId="1" applyAlignment="1" pivotButton="0" quotePrefix="0" xfId="0">
      <alignment horizontal="center" vertical="center"/>
    </xf>
    <xf numFmtId="0" fontId="4" fillId="4" borderId="0" applyAlignment="1" pivotButton="0" quotePrefix="0" xfId="0">
      <alignment vertical="center"/>
    </xf>
    <xf numFmtId="0" fontId="2" fillId="4" borderId="0" applyAlignment="1" pivotButton="0" quotePrefix="0" xfId="0">
      <alignment vertical="center"/>
    </xf>
    <xf numFmtId="0" fontId="4" fillId="0" borderId="1" applyAlignment="1" pivotButton="0" quotePrefix="0" xfId="0">
      <alignmen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0" borderId="0" applyAlignment="1" pivotButton="0" quotePrefix="0" xfId="0">
      <alignment vertical="center"/>
    </xf>
    <xf numFmtId="0" fontId="4" fillId="0" borderId="0" applyAlignment="1" pivotButton="0" quotePrefix="0" xfId="0">
      <alignment horizontal="center" vertical="center"/>
    </xf>
    <xf numFmtId="0" fontId="7" fillId="3"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9" borderId="1" applyAlignment="1" pivotButton="0" quotePrefix="0" xfId="0">
      <alignment horizontal="center" vertical="center" wrapText="1"/>
    </xf>
    <xf numFmtId="0" fontId="4" fillId="9" borderId="1" applyAlignment="1" pivotButton="0" quotePrefix="0" xfId="0">
      <alignment vertical="center" wrapText="1"/>
    </xf>
    <xf numFmtId="0" fontId="6" fillId="8"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vertical="center"/>
    </xf>
    <xf numFmtId="0" fontId="4" fillId="9" borderId="1" applyAlignment="1" pivotButton="0" quotePrefix="0" xfId="0">
      <alignment horizontal="center" vertical="center"/>
    </xf>
    <xf numFmtId="0" fontId="4" fillId="9" borderId="1" applyAlignment="1" pivotButton="0" quotePrefix="0" xfId="0">
      <alignment horizontal="left" vertical="center" wrapText="1"/>
    </xf>
    <xf numFmtId="0" fontId="4" fillId="9" borderId="1" applyAlignment="1" pivotButton="0" quotePrefix="0" xfId="1">
      <alignment horizontal="left" vertical="center" wrapText="1"/>
    </xf>
    <xf numFmtId="0" fontId="10" fillId="9" borderId="1" applyAlignment="1" applyProtection="1" pivotButton="0" quotePrefix="0" xfId="1">
      <alignment horizontal="center" vertical="center"/>
      <protection locked="0" hidden="0"/>
    </xf>
    <xf numFmtId="0" fontId="4" fillId="9" borderId="1" applyAlignment="1" applyProtection="1" pivotButton="0" quotePrefix="0" xfId="1">
      <alignment horizontal="left" vertical="center" wrapText="1"/>
      <protection locked="0" hidden="0"/>
    </xf>
    <xf numFmtId="0" fontId="6" fillId="9" borderId="1" applyAlignment="1" pivotButton="0" quotePrefix="0" xfId="0">
      <alignment vertical="center" wrapText="1"/>
    </xf>
    <xf numFmtId="0" fontId="6" fillId="9" borderId="1" applyAlignment="1" pivotButton="0" quotePrefix="0" xfId="0">
      <alignment horizontal="center" vertical="center" wrapText="1"/>
    </xf>
    <xf numFmtId="0" fontId="4" fillId="9" borderId="0" applyAlignment="1" pivotButton="0" quotePrefix="0" xfId="0">
      <alignment vertical="center" wrapText="1"/>
    </xf>
    <xf numFmtId="0" fontId="6" fillId="8" borderId="1" applyAlignment="1" pivotButton="0" quotePrefix="0" xfId="0">
      <alignment horizontal="center" vertical="center" wrapText="1"/>
    </xf>
    <xf numFmtId="164" fontId="4" fillId="2" borderId="1" applyAlignment="1" pivotButton="0" quotePrefix="0" xfId="0">
      <alignment horizontal="center" vertical="center"/>
    </xf>
    <xf numFmtId="164" fontId="4" fillId="9" borderId="1" applyAlignment="1" pivotButton="0" quotePrefix="0" xfId="0">
      <alignment horizontal="center" vertical="center"/>
    </xf>
    <xf numFmtId="0" fontId="4" fillId="2" borderId="1" applyAlignment="1" pivotButton="0" quotePrefix="0" xfId="0">
      <alignment horizontal="left" vertical="top" wrapText="1"/>
    </xf>
    <xf numFmtId="0" fontId="7" fillId="2" borderId="1" applyAlignment="1" pivotButton="0" quotePrefix="0" xfId="0">
      <alignment horizontal="lef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2" applyAlignment="1" pivotButton="0" quotePrefix="0" xfId="0">
      <alignment horizontal="center" vertical="center"/>
    </xf>
    <xf numFmtId="0" fontId="0" fillId="0" borderId="2" pivotButton="0" quotePrefix="0" xfId="0"/>
    <xf numFmtId="0" fontId="0" fillId="0" borderId="0" pivotButton="0" quotePrefix="0" xfId="0"/>
    <xf numFmtId="164" fontId="4" fillId="2" borderId="1" applyAlignment="1" pivotButton="0" quotePrefix="0" xfId="0">
      <alignment horizontal="center" vertical="center"/>
    </xf>
    <xf numFmtId="164" fontId="4" fillId="9" borderId="1" applyAlignment="1" pivotButton="0" quotePrefix="0" xfId="0">
      <alignment horizontal="center" vertical="center"/>
    </xf>
    <xf numFmtId="0" fontId="4" fillId="10" borderId="1" applyAlignment="1" pivotButton="0" quotePrefix="0" xfId="0">
      <alignment horizontal="center" vertical="center" wrapText="1"/>
    </xf>
    <xf numFmtId="0" fontId="4" fillId="10" borderId="1" applyAlignment="1" pivotButton="0" quotePrefix="0" xfId="0">
      <alignment horizontal="left"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center" wrapText="1"/>
    </xf>
  </cellXfs>
  <cellStyles count="2">
    <cellStyle name="一般" xfId="0" builtinId="0"/>
    <cellStyle name="一般 3" xfId="1"/>
  </cellStyles>
  <dxfs count="3">
    <dxf>
      <font>
        <color rgb="FF0000FF"/>
      </font>
    </dxf>
    <dxf>
      <font>
        <b val="1"/>
        <color rgb="FFFF0000"/>
      </font>
    </dxf>
    <dxf>
      <font>
        <b val="1"/>
        <color rgb="FF7030A0"/>
      </font>
    </dxf>
  </dxf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haredStrings" Target="sharedStrings.xml" Id="rId3" /><Relationship Type="http://schemas.openxmlformats.org/officeDocument/2006/relationships/styles" Target="styles.xml" Id="rId4" /><Relationship Type="http://schemas.openxmlformats.org/officeDocument/2006/relationships/theme" Target="theme/theme1.xml" Id="rId5" /></Relationships>
</file>

<file path=xl/externalLinks/_rels/externalLink1.xml.rels><Relationships xmlns="http://schemas.openxmlformats.org/package/2006/relationships"><Relationship Type="http://schemas.openxmlformats.org/officeDocument/2006/relationships/externalLinkPath" Target="file:///X:\Project\RBA&#23560;&#21312;\02_&#23458;&#25142;&#36039;&#26009;&#22238;&#35206;\2024\20240717_&#26085;&#26376;&#20809;_&#20379;&#25033;&#21830;&#34892;&#28858;&#28310;&#21063;\RBA&#27861;&#35215;&#37969;&#23450;&#30331;&#37636;&#34920;_&#26085;&#26376;&#20809;-&#20379;&#25033;&#21830;&#34892;&#28858;&#28310;&#21063;.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供應商 外包商行為準則"/>
      <sheetName val="INDEX"/>
      <sheetName val="鑑定結果樞紐"/>
    </sheetNames>
    <sheetDataSet>
      <sheetData sheetId="0" refreshError="1"/>
      <sheetData sheetId="1"/>
      <sheetData sheetId="2" refreshError="1"/>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15"/>
  <sheetViews>
    <sheetView tabSelected="1" topLeftCell="A14" zoomScaleNormal="100" workbookViewId="0">
      <selection activeCell="D3" sqref="D3:E15"/>
    </sheetView>
  </sheetViews>
  <sheetFormatPr baseColWidth="8" defaultColWidth="8.875" defaultRowHeight="15.75" outlineLevelCol="0"/>
  <cols>
    <col width="17.125" customWidth="1" style="13" min="1" max="1"/>
    <col width="8.875" customWidth="1" style="14" min="2" max="2"/>
    <col width="49" customWidth="1" style="13" min="3" max="3"/>
    <col width="17.125" customWidth="1" style="13" min="4" max="4"/>
    <col width="26" customWidth="1" style="13" min="5" max="5"/>
    <col width="24.125" customWidth="1" style="13" min="6" max="6"/>
    <col width="31.5" customWidth="1" style="13" min="7" max="7"/>
    <col width="26.375" customWidth="1" style="13" min="8" max="8"/>
    <col width="35.375" customWidth="1" style="13" min="9" max="9"/>
    <col width="60" customWidth="1" style="14" min="10" max="10"/>
    <col width="60" customWidth="1" style="13" min="11" max="11"/>
    <col width="20.625" customWidth="1" style="13" min="12" max="12"/>
    <col width="14.5" customWidth="1" style="13" min="13" max="13"/>
    <col width="8.875" customWidth="1" style="13" min="14" max="15"/>
    <col width="8.875" customWidth="1" style="13" min="16" max="16384"/>
  </cols>
  <sheetData>
    <row r="1" spans="1:15" ht="26.25" customHeight="1" s="40">
      <c r="B1" s="38" t="n"/>
    </row>
    <row r="2" spans="1:15" ht="110.25" customHeight="1" s="40">
      <c r="A2" s="5" t="s">
        <v>0</v>
      </c>
      <c r="B2" s="5" t="s">
        <v>1</v>
      </c>
      <c r="C2" s="2" t="s">
        <v>2</v>
      </c>
      <c r="D2" s="2" t="s">
        <v>3</v>
      </c>
      <c r="E2" s="41" t="s">
        <v>4</v>
      </c>
      <c r="F2" s="42" t="s">
        <v>5</v>
      </c>
      <c r="G2" s="42" t="s">
        <v>6</v>
      </c>
      <c r="H2" s="42" t="s">
        <v>7</v>
      </c>
      <c r="I2" s="42" t="s">
        <v>8</v>
      </c>
      <c r="J2" s="34" t="s">
        <v>9</v>
      </c>
      <c r="K2" s="35" t="s">
        <v>10</v>
      </c>
      <c r="L2" s="3" t="s">
        <v>11</v>
      </c>
      <c r="M2" s="4" t="s">
        <v>12</v>
      </c>
    </row>
    <row r="3" spans="1:15" ht="31.5" customFormat="1" customHeight="1" s="6">
      <c r="A3" s="15" t="s">
        <v>13</v>
      </c>
      <c r="B3" s="21" t="n"/>
      <c r="C3" s="8" t="s">
        <v>14</v>
      </c>
      <c r="D3" s="43" t="s">
        <v>15</v>
      </c>
      <c r="E3" s="44" t="s">
        <v>15</v>
      </c>
      <c r="F3" s="20" t="s">
        <v>15</v>
      </c>
      <c r="G3" s="20" t="s">
        <v>15</v>
      </c>
      <c r="H3" s="20" t="s">
        <v>15</v>
      </c>
      <c r="I3" s="20" t="s">
        <v>15</v>
      </c>
      <c r="J3" s="36" t="s">
        <v>16</v>
      </c>
      <c r="K3" s="36" t="s">
        <v>17</v>
      </c>
      <c r="L3" s="22" t="n"/>
      <c r="M3" s="22" t="n"/>
      <c r="O3" s="7" t="s">
        <v>18</v>
      </c>
    </row>
    <row r="4" spans="1:15" ht="126" customHeight="1" s="40">
      <c r="A4" s="15" t="s">
        <v>13</v>
      </c>
      <c r="B4" s="21" t="n"/>
      <c r="C4" s="8" t="s">
        <v>19</v>
      </c>
      <c r="D4" s="43" t="s">
        <v>20</v>
      </c>
      <c r="E4" s="44" t="s">
        <v>21</v>
      </c>
      <c r="F4" s="23" t="s">
        <v>22</v>
      </c>
      <c r="G4" s="18" t="s">
        <v>23</v>
      </c>
      <c r="H4" s="23" t="s">
        <v>20</v>
      </c>
      <c r="I4" s="18" t="s">
        <v>24</v>
      </c>
      <c r="J4" s="37" t="s">
        <v>25</v>
      </c>
      <c r="K4" s="36" t="s">
        <v>26</v>
      </c>
      <c r="L4" s="21" t="n"/>
      <c r="M4" s="21" t="n"/>
      <c r="O4" s="1" t="s">
        <v>27</v>
      </c>
    </row>
    <row r="5" spans="1:15" ht="59.25" customHeight="1" s="40">
      <c r="A5" s="15" t="s">
        <v>13</v>
      </c>
      <c r="B5" s="21" t="n"/>
      <c r="C5" s="8" t="s">
        <v>28</v>
      </c>
      <c r="D5" s="43" t="s">
        <v>20</v>
      </c>
      <c r="E5" s="44" t="s">
        <v>29</v>
      </c>
      <c r="F5" s="17" t="s">
        <v>30</v>
      </c>
      <c r="G5" s="18" t="s">
        <v>31</v>
      </c>
      <c r="H5" s="23" t="s">
        <v>20</v>
      </c>
      <c r="I5" s="18" t="s">
        <v>32</v>
      </c>
      <c r="J5" s="37" t="s">
        <v>33</v>
      </c>
      <c r="K5" s="36" t="s">
        <v>34</v>
      </c>
      <c r="L5" s="21" t="n"/>
      <c r="M5" s="21" t="n"/>
      <c r="O5" s="1" t="n"/>
    </row>
    <row r="6" spans="1:15" ht="47.25" customHeight="1" s="40">
      <c r="A6" s="15" t="s">
        <v>13</v>
      </c>
      <c r="B6" s="21" t="n"/>
      <c r="C6" s="8" t="s">
        <v>35</v>
      </c>
      <c r="D6" s="43" t="s">
        <v>20</v>
      </c>
      <c r="E6" s="44" t="s">
        <v>36</v>
      </c>
      <c r="F6" s="17" t="s">
        <v>37</v>
      </c>
      <c r="G6" s="18" t="s">
        <v>38</v>
      </c>
      <c r="H6" s="17" t="s">
        <v>39</v>
      </c>
      <c r="I6" s="24" t="s">
        <v>40</v>
      </c>
      <c r="J6" s="37" t="s">
        <v>41</v>
      </c>
      <c r="K6" s="36" t="s">
        <v>42</v>
      </c>
      <c r="L6" s="21" t="n"/>
      <c r="M6" s="21" t="n"/>
      <c r="O6" s="1" t="n"/>
    </row>
    <row r="7" spans="1:15" ht="47.25" customHeight="1" s="40">
      <c r="A7" s="15" t="s">
        <v>13</v>
      </c>
      <c r="B7" s="21" t="n"/>
      <c r="C7" s="8" t="s">
        <v>43</v>
      </c>
      <c r="D7" s="43" t="s">
        <v>15</v>
      </c>
      <c r="E7" s="44" t="s">
        <v>15</v>
      </c>
      <c r="F7" s="17" t="s">
        <v>44</v>
      </c>
      <c r="G7" s="18" t="s">
        <v>38</v>
      </c>
      <c r="H7" s="17" t="s">
        <v>39</v>
      </c>
      <c r="I7" s="24" t="s">
        <v>40</v>
      </c>
      <c r="J7" s="37" t="s">
        <v>45</v>
      </c>
      <c r="K7" s="36" t="s">
        <v>46</v>
      </c>
      <c r="L7" s="21" t="n"/>
      <c r="M7" s="21" t="n"/>
      <c r="O7" s="1" t="n"/>
    </row>
    <row r="8" spans="1:15" ht="94.5" customHeight="1" s="40">
      <c r="A8" s="15" t="s">
        <v>13</v>
      </c>
      <c r="B8" s="21" t="n"/>
      <c r="C8" s="8" t="s">
        <v>47</v>
      </c>
      <c r="D8" s="43" t="s">
        <v>48</v>
      </c>
      <c r="E8" s="44" t="s">
        <v>49</v>
      </c>
      <c r="F8" s="20" t="s">
        <v>50</v>
      </c>
      <c r="G8" s="16" t="s">
        <v>51</v>
      </c>
      <c r="H8" s="20" t="s">
        <v>52</v>
      </c>
      <c r="I8" s="16" t="s">
        <v>53</v>
      </c>
      <c r="J8" s="37" t="s">
        <v>54</v>
      </c>
      <c r="K8" s="36" t="s">
        <v>55</v>
      </c>
      <c r="L8" s="21" t="n"/>
      <c r="M8" s="21" t="n"/>
      <c r="O8" s="1" t="n"/>
    </row>
    <row r="9" spans="1:15" ht="31.5" customHeight="1" s="40">
      <c r="A9" s="15" t="s">
        <v>13</v>
      </c>
      <c r="B9" s="21" t="n"/>
      <c r="C9" s="8" t="s">
        <v>56</v>
      </c>
      <c r="D9" s="43" t="s">
        <v>20</v>
      </c>
      <c r="E9" s="44" t="s">
        <v>57</v>
      </c>
      <c r="F9" s="20" t="s">
        <v>58</v>
      </c>
      <c r="G9" s="16" t="s">
        <v>59</v>
      </c>
      <c r="H9" s="20" t="s">
        <v>52</v>
      </c>
      <c r="I9" s="16" t="s">
        <v>60</v>
      </c>
      <c r="J9" s="37" t="s">
        <v>61</v>
      </c>
      <c r="K9" s="36" t="s">
        <v>62</v>
      </c>
      <c r="L9" s="21" t="n"/>
      <c r="M9" s="21" t="n"/>
      <c r="O9" s="1" t="n"/>
    </row>
    <row r="10" spans="1:15" ht="31.5" customHeight="1" s="40">
      <c r="A10" s="15" t="s">
        <v>63</v>
      </c>
      <c r="B10" s="21" t="n"/>
      <c r="C10" s="8" t="s">
        <v>64</v>
      </c>
      <c r="D10" s="43" t="s">
        <v>65</v>
      </c>
      <c r="E10" s="44" t="s">
        <v>66</v>
      </c>
      <c r="F10" s="31" t="s">
        <v>67</v>
      </c>
      <c r="G10" s="19" t="s">
        <v>68</v>
      </c>
      <c r="H10" s="31" t="s">
        <v>69</v>
      </c>
      <c r="I10" s="19" t="s">
        <v>70</v>
      </c>
      <c r="J10" s="36" t="s">
        <v>71</v>
      </c>
      <c r="K10" s="36" t="s">
        <v>72</v>
      </c>
      <c r="L10" s="22" t="n"/>
      <c r="M10" s="22" t="n"/>
    </row>
    <row r="11" spans="1:15" ht="126" customHeight="1" s="40">
      <c r="A11" s="15" t="s">
        <v>63</v>
      </c>
      <c r="B11" s="21" t="n"/>
      <c r="C11" s="8" t="s">
        <v>73</v>
      </c>
      <c r="D11" s="43" t="s">
        <v>69</v>
      </c>
      <c r="E11" s="44" t="s">
        <v>74</v>
      </c>
      <c r="F11" s="17" t="s">
        <v>75</v>
      </c>
      <c r="G11" s="25" t="s">
        <v>76</v>
      </c>
      <c r="H11" s="26" t="s">
        <v>69</v>
      </c>
      <c r="I11" s="27" t="s">
        <v>77</v>
      </c>
      <c r="J11" s="37" t="s">
        <v>78</v>
      </c>
      <c r="K11" s="36" t="s">
        <v>79</v>
      </c>
      <c r="L11" s="21" t="n"/>
      <c r="M11" s="21" t="n"/>
    </row>
    <row r="12" spans="1:15" ht="110.25" customHeight="1" s="40">
      <c r="A12" s="15" t="s">
        <v>80</v>
      </c>
      <c r="B12" s="21" t="n"/>
      <c r="C12" s="8" t="s">
        <v>81</v>
      </c>
      <c r="D12" s="43" t="s">
        <v>82</v>
      </c>
      <c r="E12" s="44" t="s">
        <v>83</v>
      </c>
      <c r="F12" s="17" t="s">
        <v>84</v>
      </c>
      <c r="G12" s="18" t="s">
        <v>85</v>
      </c>
      <c r="H12" s="23" t="s">
        <v>82</v>
      </c>
      <c r="I12" s="18" t="s">
        <v>86</v>
      </c>
      <c r="J12" s="37" t="s">
        <v>87</v>
      </c>
      <c r="K12" s="36" t="s">
        <v>88</v>
      </c>
      <c r="L12" s="21" t="n"/>
      <c r="M12" s="21" t="n"/>
    </row>
    <row r="13" spans="1:15" ht="173.25" customHeight="1" s="40">
      <c r="A13" s="15" t="s">
        <v>89</v>
      </c>
      <c r="B13" s="21" t="n"/>
      <c r="C13" s="8" t="s">
        <v>90</v>
      </c>
      <c r="D13" s="43" t="s">
        <v>91</v>
      </c>
      <c r="E13" s="44" t="s">
        <v>92</v>
      </c>
      <c r="F13" s="17" t="s">
        <v>93</v>
      </c>
      <c r="G13" s="18" t="s">
        <v>94</v>
      </c>
      <c r="H13" s="17" t="s">
        <v>95</v>
      </c>
      <c r="I13" s="28" t="s">
        <v>96</v>
      </c>
      <c r="J13" s="36" t="s">
        <v>97</v>
      </c>
      <c r="K13" s="36" t="s">
        <v>98</v>
      </c>
      <c r="L13" s="22" t="n"/>
      <c r="M13" s="22" t="n"/>
    </row>
    <row r="14" spans="1:15" ht="266.25" customHeight="1" s="40">
      <c r="A14" s="15" t="s">
        <v>99</v>
      </c>
      <c r="B14" s="21" t="n"/>
      <c r="C14" s="8" t="s">
        <v>100</v>
      </c>
      <c r="D14" s="45" t="s">
        <v>101</v>
      </c>
      <c r="E14" s="46" t="s">
        <v>102</v>
      </c>
      <c r="F14" s="29" t="s">
        <v>103</v>
      </c>
      <c r="G14" s="28" t="s">
        <v>104</v>
      </c>
      <c r="H14" s="29" t="s">
        <v>105</v>
      </c>
      <c r="I14" s="30" t="s">
        <v>106</v>
      </c>
      <c r="J14" s="36" t="s">
        <v>107</v>
      </c>
      <c r="K14" s="36" t="s">
        <v>108</v>
      </c>
      <c r="L14" s="22" t="n"/>
      <c r="M14" s="22" t="n"/>
    </row>
    <row r="15" spans="1:15" ht="31.5" customHeight="1" s="40">
      <c r="A15" s="15" t="s">
        <v>99</v>
      </c>
      <c r="B15" s="21" t="n"/>
      <c r="C15" s="8" t="s">
        <v>109</v>
      </c>
      <c r="D15" s="43" t="s">
        <v>15</v>
      </c>
      <c r="E15" s="44" t="s">
        <v>15</v>
      </c>
      <c r="F15" s="20" t="s">
        <v>15</v>
      </c>
      <c r="G15" s="20" t="s">
        <v>15</v>
      </c>
      <c r="H15" s="20" t="s">
        <v>15</v>
      </c>
      <c r="I15" s="20" t="s">
        <v>15</v>
      </c>
      <c r="J15" s="37" t="s">
        <v>110</v>
      </c>
      <c r="K15" s="36" t="s">
        <v>111</v>
      </c>
      <c r="L15" s="21" t="n"/>
      <c r="M15" s="21" t="n"/>
    </row>
  </sheetData>
  <autoFilter ref="B2:M15"/>
  <mergeCells count="1">
    <mergeCell ref="B1:M1"/>
  </mergeCells>
  <conditionalFormatting sqref="J2">
    <cfRule type="cellIs" priority="1" operator="equal" dxfId="2" stopIfTrue="1">
      <formula>"條件性符合"</formula>
    </cfRule>
    <cfRule type="cellIs" priority="2" operator="equal" dxfId="1" stopIfTrue="1">
      <formula>"不符合"</formula>
    </cfRule>
    <cfRule type="cellIs" priority="3" operator="equal" dxfId="0" stopIfTrue="1">
      <formula>"符合"</formula>
    </cfRule>
  </conditionalFormatting>
  <dataValidations count="2">
    <dataValidation sqref="J2" showErrorMessage="1" showInputMessage="1" allowBlank="0" type="list">
      <formula1>"符合,不符合,條件性符合,登錄存查,無相關,NA"</formula1>
    </dataValidation>
    <dataValidation sqref="J4:J9 J11:J12 J15" showErrorMessage="1" showInputMessage="1" allowBlank="0" type="list">
      <formula1>$O$3:$O$4</formula1>
    </dataValidation>
  </dataValidations>
  <pageMargins left="0.7" right="0.7" top="0.75" bottom="0.75" header="0.3" footer="0.3"/>
  <pageSetup orientation="portrait" paperSize="9" scale="105"/>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xmlns:dc="http://purl.org/dc/elements/1.1/" xmlns:dcterms="http://purl.org/dc/terms/" xmlns:xsi="http://www.w3.org/2001/XMLSchema-instance">
  <dc:creator>李夙斐(Eliza_Li)</dc:creator>
  <dcterms:created xsi:type="dcterms:W3CDTF">2025-07-22T08:58:59Z</dcterms:created>
  <dcterms:modified xsi:type="dcterms:W3CDTF">2026-02-06T07:38:16Z</dcterms:modified>
  <cp:lastModifiedBy>Frank Fu 傅士軒</cp:lastModifiedBy>
</cp:coreProperties>
</file>